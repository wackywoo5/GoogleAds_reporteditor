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40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<sst xmlns="http://schemas.openxmlformats.org/spreadsheetml/2006/main" count="173" uniqueCount="58">
  <si>
    <t>date</t>
  </si>
  <si>
    <t>Campaign</t>
  </si>
  <si>
    <t>Cost</t>
  </si>
  <si>
    <t>Impr.</t>
  </si>
  <si>
    <t>Clicks</t>
  </si>
  <si>
    <t>Installs</t>
  </si>
  <si>
    <t>In-app actions</t>
  </si>
  <si>
    <t>Cost/Install</t>
  </si>
  <si>
    <t>Cost/In-app actions</t>
  </si>
  <si>
    <t>CTR</t>
  </si>
  <si>
    <t>Buget</t>
  </si>
  <si>
    <t>Ad group</t>
  </si>
  <si>
    <t>Status</t>
  </si>
  <si>
    <t>Optimization score</t>
  </si>
  <si>
    <t>Account</t>
  </si>
  <si>
    <t>Campaign type</t>
  </si>
  <si>
    <t>View-through conv.</t>
  </si>
  <si>
    <t>Particlpated in-app actions</t>
  </si>
  <si>
    <t>Cost / Particlpated in-app actions</t>
  </si>
  <si>
    <t>Conv. rate</t>
  </si>
  <si>
    <t>Conversions</t>
  </si>
  <si>
    <t>Cost / conv.</t>
  </si>
  <si>
    <t>Target CPA</t>
  </si>
  <si>
    <t>Brand Inclusions</t>
  </si>
  <si>
    <t>Locations of interest</t>
  </si>
  <si>
    <t>campaign</t>
  </si>
  <si>
    <t>cost</t>
  </si>
  <si>
    <t>impressions</t>
  </si>
  <si>
    <t>clicks</t>
  </si>
  <si>
    <t>installs</t>
  </si>
  <si>
    <t>inAppActions</t>
  </si>
  <si>
    <t>costPerInstall</t>
  </si>
  <si>
    <t>costPerInAppActions</t>
  </si>
  <si>
    <t>ctr</t>
  </si>
  <si>
    <t>AdGroup</t>
  </si>
  <si>
    <t>OptimizationScore</t>
  </si>
  <si>
    <t>CampaignType</t>
  </si>
  <si>
    <t>ViewThroughConv</t>
  </si>
  <si>
    <t>ParticlpatedInAppActions</t>
  </si>
  <si>
    <t>CostParticlpatedInAppActions</t>
  </si>
  <si>
    <t>ConvRate</t>
  </si>
  <si>
    <t>CostPerConv</t>
  </si>
  <si>
    <t>TargetCPA</t>
  </si>
  <si>
    <t>BrandInclusions</t>
  </si>
  <si>
    <t>LocationsOfInterest</t>
  </si>
  <si>
    <t>string</t>
  </si>
  <si>
    <t>float</t>
  </si>
  <si>
    <t>int</t>
  </si>
  <si>
    <t>GG11-7U7-58-EB26-0518</t>
  </si>
  <si>
    <t>Ad group1</t>
  </si>
  <si>
    <t>Eligible</t>
  </si>
  <si>
    <t>1124-4-mcc</t>
  </si>
  <si>
    <t>App</t>
  </si>
  <si>
    <t>-</t>
  </si>
  <si>
    <t>GG11-7U7-59-EB26-0518</t>
  </si>
  <si>
    <t>Paused</t>
  </si>
  <si>
    <t>GG11-7U7-55-EB26-0510</t>
  </si>
  <si>
    <t>GG11-7U7-57-EB26-0515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</si>
</sst>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0_);\(0.00\)"/>
  </numFmts>
  <fonts count="24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C404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176" fontId="1" fillId="3" borderId="0" xfId="0" applyNumberFormat="1" applyFont="1" applyFill="1" applyBorder="1" applyAlignment="1">
      <alignment horizontal="left" vertical="center"/>
    </xf>
    <xf numFmtId="177" fontId="1" fillId="3" borderId="0" xfId="0" applyNumberFormat="1" applyFont="1" applyFill="1" applyBorder="1" applyAlignment="1">
      <alignment horizontal="right" vertical="center"/>
    </xf>
    <xf numFmtId="0" fontId="1" fillId="4" borderId="0" xfId="0" applyNumberFormat="1" applyFont="1" applyFill="1" applyBorder="1" applyAlignment="1">
      <alignment horizontal="left" vertical="center"/>
    </xf>
    <xf numFmtId="177" fontId="1" fillId="4" borderId="0" xfId="0" applyNumberFormat="1" applyFont="1" applyFill="1" applyBorder="1" applyAlignment="1">
      <alignment horizontal="left" vertical="center"/>
    </xf>
    <xf numFmtId="177" fontId="1" fillId="3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right" vertical="center"/>
    </xf>
    <xf numFmtId="176" fontId="1" fillId="3" borderId="1" xfId="0" applyNumberFormat="1" applyFont="1" applyFill="1" applyBorder="1" applyAlignment="1">
      <alignment horizontal="right" vertical="center"/>
    </xf>
    <xf numFmtId="2" fontId="1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>
      <alignment vertical="center"/>
    </xf>
    <xf numFmtId="177" fontId="1" fillId="3" borderId="1" xfId="0" applyNumberFormat="1" applyFont="1" applyFill="1" applyBorder="1" applyAlignment="1">
      <alignment horizontal="right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right" vertical="center"/>
    </xf>
    <xf numFmtId="0" fontId="0" fillId="4" borderId="1" xfId="0" applyFont="1" applyFill="1" applyBorder="1">
      <alignment vertical="center"/>
    </xf>
    <xf numFmtId="0" fontId="1" fillId="3" borderId="1" xfId="0" applyNumberFormat="1" applyFont="1" applyFill="1" applyBorder="1" applyAlignment="1" applyProtection="1">
      <alignment horizontal="right" vertical="center"/>
    </xf>
    <xf numFmtId="0" fontId="1" fillId="4" borderId="1" xfId="0" applyNumberFormat="1" applyFont="1" applyFill="1" applyBorder="1" applyAlignment="1">
      <alignment horizontal="left" vertical="center"/>
    </xf>
    <xf numFmtId="177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left" vertical="center"/>
    </xf>
    <xf numFmtId="177" fontId="1" fillId="4" borderId="1" xfId="0" applyNumberFormat="1" applyFont="1" applyFill="1" applyBorder="1" applyAlignment="1">
      <alignment horizontal="left" vertical="center"/>
    </xf>
    <xf numFmtId="177" fontId="1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/aw/campaig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zoomScale="80" zoomScaleNormal="80" workbookViewId="0">
      <selection activeCell="D20" sqref="D20"/>
    </sheetView>
  </sheetViews>
  <sheetFormatPr defaultColWidth="9" defaultRowHeight="16.8"/>
  <cols>
    <col min="1" max="1" width="27.4038461538462" style="2" customWidth="1"/>
    <col min="2" max="2" width="32.6538461538462" style="2" customWidth="1"/>
    <col min="3" max="3" width="23.4326923076923" style="2" customWidth="1"/>
    <col min="4" max="5" width="23.4326923076923" style="3" customWidth="1"/>
    <col min="6" max="7" width="23.4326923076923" style="2" customWidth="1"/>
    <col min="8" max="8" width="18.0769230769231" style="2" customWidth="1"/>
    <col min="9" max="9" width="28.625" style="2" customWidth="1"/>
    <col min="10" max="10" width="22.875" style="2" customWidth="1"/>
    <col min="11" max="11" width="33.8173076923077" style="4" customWidth="1"/>
    <col min="12" max="13" width="12.7211538461538" style="5"/>
    <col min="14" max="14" width="23.3942307692308" style="5" customWidth="1"/>
    <col min="15" max="16" width="20.6730769230769" style="5" customWidth="1"/>
    <col min="17" max="17" width="22.1153846153846" style="5" customWidth="1"/>
    <col min="18" max="18" width="35.4134615384615" style="5" customWidth="1"/>
    <col min="19" max="19" width="41.6634615384615" style="5" customWidth="1"/>
    <col min="20" max="20" width="12.7211538461538" style="6"/>
    <col min="21" max="21" width="14.0961538461538" style="6" customWidth="1"/>
    <col min="22" max="22" width="14.4134615384615" style="5" customWidth="1"/>
    <col min="23" max="23" width="21.1442307692308" style="7" customWidth="1"/>
    <col min="24" max="24" width="16.8173076923077" style="2" customWidth="1"/>
    <col min="25" max="25" width="24.3461538461538" style="2" customWidth="1"/>
    <col min="26" max="16365" width="12.7211538461538" style="8"/>
    <col min="16366" max="16384" width="9" style="8"/>
  </cols>
  <sheetData>
    <row r="1" s="1" customFormat="1" spans="1: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8" t="s">
        <v>10</v>
      </c>
      <c r="L1" s="19" t="s">
        <v>11</v>
      </c>
      <c r="M1" s="19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6" t="s">
        <v>19</v>
      </c>
      <c r="U1" s="26" t="s">
        <v>20</v>
      </c>
      <c r="V1" s="21" t="s">
        <v>21</v>
      </c>
      <c r="W1" s="29" t="s">
        <v>22</v>
      </c>
      <c r="X1" s="11" t="s">
        <v>23</v>
      </c>
      <c r="Y1" s="11" t="s">
        <v>24</v>
      </c>
    </row>
    <row r="2" s="1" customFormat="1" spans="1:25">
      <c r="A2" s="9" t="s">
        <v>0</v>
      </c>
      <c r="B2" s="11" t="s">
        <v>25</v>
      </c>
      <c r="C2" s="9" t="s">
        <v>26</v>
      </c>
      <c r="D2" s="10" t="s">
        <v>27</v>
      </c>
      <c r="E2" s="10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8" t="s">
        <v>10</v>
      </c>
      <c r="L2" s="19" t="s">
        <v>34</v>
      </c>
      <c r="M2" s="19" t="s">
        <v>12</v>
      </c>
      <c r="N2" s="21" t="s">
        <v>35</v>
      </c>
      <c r="O2" s="21" t="s">
        <v>14</v>
      </c>
      <c r="P2" s="21" t="s">
        <v>36</v>
      </c>
      <c r="Q2" s="21" t="s">
        <v>37</v>
      </c>
      <c r="R2" s="21" t="s">
        <v>38</v>
      </c>
      <c r="S2" s="21" t="s">
        <v>39</v>
      </c>
      <c r="T2" s="26" t="s">
        <v>40</v>
      </c>
      <c r="U2" s="26" t="s">
        <v>20</v>
      </c>
      <c r="V2" s="21" t="s">
        <v>41</v>
      </c>
      <c r="W2" s="29" t="s">
        <v>42</v>
      </c>
      <c r="X2" s="11" t="s">
        <v>43</v>
      </c>
      <c r="Y2" s="11" t="s">
        <v>44</v>
      </c>
    </row>
    <row r="3" s="1" customFormat="1" spans="1:25">
      <c r="A3" s="11" t="s">
        <v>45</v>
      </c>
      <c r="B3" s="11" t="s">
        <v>45</v>
      </c>
      <c r="C3" s="11" t="s">
        <v>46</v>
      </c>
      <c r="D3" s="12" t="s">
        <v>47</v>
      </c>
      <c r="E3" s="12" t="s">
        <v>47</v>
      </c>
      <c r="F3" s="11" t="s">
        <v>46</v>
      </c>
      <c r="G3" s="11" t="s">
        <v>46</v>
      </c>
      <c r="H3" s="11" t="s">
        <v>46</v>
      </c>
      <c r="I3" s="11" t="s">
        <v>46</v>
      </c>
      <c r="J3" s="11" t="s">
        <v>46</v>
      </c>
      <c r="K3" s="20" t="s">
        <v>46</v>
      </c>
      <c r="L3" s="21" t="s">
        <v>45</v>
      </c>
      <c r="M3" s="21" t="s">
        <v>45</v>
      </c>
      <c r="N3" s="21" t="s">
        <v>46</v>
      </c>
      <c r="O3" s="21" t="s">
        <v>45</v>
      </c>
      <c r="P3" s="21" t="s">
        <v>45</v>
      </c>
      <c r="Q3" s="21" t="s">
        <v>47</v>
      </c>
      <c r="R3" s="21" t="s">
        <v>46</v>
      </c>
      <c r="S3" s="21" t="s">
        <v>46</v>
      </c>
      <c r="T3" s="26" t="s">
        <v>46</v>
      </c>
      <c r="U3" s="26" t="s">
        <v>46</v>
      </c>
      <c r="V3" s="21" t="s">
        <v>46</v>
      </c>
      <c r="W3" s="29" t="s">
        <v>46</v>
      </c>
      <c r="X3" s="11" t="s">
        <v>45</v>
      </c>
      <c r="Y3" s="11" t="s">
        <v>45</v>
      </c>
    </row>
    <row r="4" spans="1:25">
      <c r="A4" s="13">
        <v>46160</v>
      </c>
      <c r="B4" s="14" t="s">
        <v>48</v>
      </c>
      <c r="C4" s="15">
        <v>160.96</v>
      </c>
      <c r="D4" s="16">
        <v>24978</v>
      </c>
      <c r="E4" s="16">
        <v>475</v>
      </c>
      <c r="F4" s="15">
        <v>28</v>
      </c>
      <c r="G4" s="15">
        <v>8</v>
      </c>
      <c r="H4" s="17">
        <v>5.75</v>
      </c>
      <c r="I4" s="15">
        <v>20.12</v>
      </c>
      <c r="J4" s="22">
        <v>1.9</v>
      </c>
      <c r="K4" s="20">
        <v>200</v>
      </c>
      <c r="L4" s="23" t="s">
        <v>49</v>
      </c>
      <c r="M4" s="23" t="s">
        <v>50</v>
      </c>
      <c r="N4" s="21" t="str">
        <f ca="1">TEXT(RANDBETWEEN(920,999)/10,"0.0")</f>
        <v>92.8</v>
      </c>
      <c r="O4" s="25" t="s">
        <v>51</v>
      </c>
      <c r="P4" s="25" t="s">
        <v>52</v>
      </c>
      <c r="Q4" s="25">
        <v>0</v>
      </c>
      <c r="R4" s="27">
        <f>G4</f>
        <v>8</v>
      </c>
      <c r="S4" s="27">
        <f>I4</f>
        <v>20.12</v>
      </c>
      <c r="T4" s="28">
        <f>U4/E4*100</f>
        <v>7.57894736842105</v>
      </c>
      <c r="U4" s="28">
        <f>F4+G4</f>
        <v>36</v>
      </c>
      <c r="V4" s="28">
        <f>C4/U4</f>
        <v>4.47111111111111</v>
      </c>
      <c r="W4" s="30">
        <v>15</v>
      </c>
      <c r="X4" s="31" t="s">
        <v>53</v>
      </c>
      <c r="Y4" s="31" t="s">
        <v>53</v>
      </c>
    </row>
    <row r="5" spans="1:25">
      <c r="A5" s="13">
        <v>46160</v>
      </c>
      <c r="B5" s="14" t="s">
        <v>54</v>
      </c>
      <c r="C5" s="15">
        <v>165.87</v>
      </c>
      <c r="D5" s="16">
        <v>85784</v>
      </c>
      <c r="E5" s="16">
        <v>1338</v>
      </c>
      <c r="F5" s="15">
        <v>91</v>
      </c>
      <c r="G5" s="15">
        <v>9</v>
      </c>
      <c r="H5" s="15">
        <v>1.82</v>
      </c>
      <c r="I5" s="15">
        <v>18.43</v>
      </c>
      <c r="J5" s="22">
        <v>1.56</v>
      </c>
      <c r="K5" s="20">
        <v>200</v>
      </c>
      <c r="L5" s="23" t="s">
        <v>49</v>
      </c>
      <c r="M5" s="23" t="s">
        <v>55</v>
      </c>
      <c r="N5" s="21" t="str">
        <f ca="1">TEXT(RANDBETWEEN(920,999)/10,"0.0")</f>
        <v>94.5</v>
      </c>
      <c r="O5" s="25" t="s">
        <v>51</v>
      </c>
      <c r="P5" s="25" t="s">
        <v>52</v>
      </c>
      <c r="Q5" s="25">
        <v>0</v>
      </c>
      <c r="R5" s="27">
        <f>G5</f>
        <v>9</v>
      </c>
      <c r="S5" s="27">
        <f>I5</f>
        <v>18.43</v>
      </c>
      <c r="T5" s="28">
        <f>U5/E5*100</f>
        <v>7.47384155455904</v>
      </c>
      <c r="U5" s="28">
        <f>F5+G5</f>
        <v>100</v>
      </c>
      <c r="V5" s="28">
        <f>C5/U5</f>
        <v>1.6587</v>
      </c>
      <c r="W5" s="30">
        <v>15</v>
      </c>
      <c r="X5" s="31" t="s">
        <v>53</v>
      </c>
      <c r="Y5" s="31" t="s">
        <v>53</v>
      </c>
    </row>
    <row r="6" spans="1:25">
      <c r="A6" s="13">
        <v>46161</v>
      </c>
      <c r="B6" s="14" t="s">
        <v>56</v>
      </c>
      <c r="C6" s="15">
        <v>65.85</v>
      </c>
      <c r="D6" s="16">
        <v>25049</v>
      </c>
      <c r="E6" s="16">
        <v>438</v>
      </c>
      <c r="F6" s="15">
        <v>32</v>
      </c>
      <c r="G6" s="15">
        <v>3</v>
      </c>
      <c r="H6" s="15">
        <v>2.06</v>
      </c>
      <c r="I6" s="15">
        <v>21.95</v>
      </c>
      <c r="J6" s="22">
        <v>1.75</v>
      </c>
      <c r="K6" s="20">
        <v>200</v>
      </c>
      <c r="L6" s="23" t="s">
        <v>49</v>
      </c>
      <c r="M6" s="23" t="s">
        <v>50</v>
      </c>
      <c r="N6" s="21" t="str">
        <f ca="1" t="shared" ref="N6:N17" si="0">TEXT(RANDBETWEEN(920,999)/10,"0.0")</f>
        <v>95.8</v>
      </c>
      <c r="O6" s="25" t="s">
        <v>51</v>
      </c>
      <c r="P6" s="25" t="s">
        <v>52</v>
      </c>
      <c r="Q6" s="25">
        <v>0</v>
      </c>
      <c r="R6" s="27">
        <f t="shared" ref="R6:R17" si="1">G6</f>
        <v>3</v>
      </c>
      <c r="S6" s="27">
        <f t="shared" ref="S6:S17" si="2">I6</f>
        <v>21.95</v>
      </c>
      <c r="T6" s="28">
        <f t="shared" ref="T6:T17" si="3">U6/E6*100</f>
        <v>7.99086757990868</v>
      </c>
      <c r="U6" s="28">
        <f t="shared" ref="U6:U17" si="4">F6+G6</f>
        <v>35</v>
      </c>
      <c r="V6" s="28">
        <f t="shared" ref="V6:V17" si="5">C6/U6</f>
        <v>1.88142857142857</v>
      </c>
      <c r="W6" s="30">
        <v>15</v>
      </c>
      <c r="X6" s="31" t="s">
        <v>53</v>
      </c>
      <c r="Y6" s="31" t="s">
        <v>53</v>
      </c>
    </row>
    <row r="7" spans="1:25">
      <c r="A7" s="13">
        <v>46161</v>
      </c>
      <c r="B7" s="14" t="s">
        <v>48</v>
      </c>
      <c r="C7" s="15">
        <v>373.92</v>
      </c>
      <c r="D7" s="16">
        <v>76375</v>
      </c>
      <c r="E7" s="16">
        <v>2406</v>
      </c>
      <c r="F7" s="15">
        <v>166</v>
      </c>
      <c r="G7" s="15">
        <v>19</v>
      </c>
      <c r="H7" s="15">
        <v>2.25</v>
      </c>
      <c r="I7" s="15">
        <v>19.68</v>
      </c>
      <c r="J7" s="22">
        <v>3.15</v>
      </c>
      <c r="K7" s="20">
        <v>200</v>
      </c>
      <c r="L7" s="23" t="s">
        <v>49</v>
      </c>
      <c r="M7" s="23" t="s">
        <v>55</v>
      </c>
      <c r="N7" s="21" t="str">
        <f ca="1" t="shared" si="0"/>
        <v>97.2</v>
      </c>
      <c r="O7" s="25" t="s">
        <v>51</v>
      </c>
      <c r="P7" s="25" t="s">
        <v>52</v>
      </c>
      <c r="Q7" s="25">
        <v>0</v>
      </c>
      <c r="R7" s="27">
        <f t="shared" si="1"/>
        <v>19</v>
      </c>
      <c r="S7" s="27">
        <f t="shared" si="2"/>
        <v>19.68</v>
      </c>
      <c r="T7" s="28">
        <f t="shared" si="3"/>
        <v>7.68911055694098</v>
      </c>
      <c r="U7" s="28">
        <f t="shared" si="4"/>
        <v>185</v>
      </c>
      <c r="V7" s="28">
        <f t="shared" si="5"/>
        <v>2.02118918918919</v>
      </c>
      <c r="W7" s="30">
        <v>15</v>
      </c>
      <c r="X7" s="31" t="s">
        <v>53</v>
      </c>
      <c r="Y7" s="31" t="s">
        <v>53</v>
      </c>
    </row>
    <row r="8" spans="1:25">
      <c r="A8" s="13">
        <v>46161</v>
      </c>
      <c r="B8" s="14" t="s">
        <v>54</v>
      </c>
      <c r="C8" s="15">
        <v>436.75</v>
      </c>
      <c r="D8" s="16">
        <v>208826</v>
      </c>
      <c r="E8" s="16">
        <v>4907</v>
      </c>
      <c r="F8" s="15">
        <v>265</v>
      </c>
      <c r="G8" s="15">
        <v>25</v>
      </c>
      <c r="H8" s="15">
        <v>1.65</v>
      </c>
      <c r="I8" s="15">
        <v>17.47</v>
      </c>
      <c r="J8" s="22">
        <v>2.35</v>
      </c>
      <c r="K8" s="20">
        <v>200</v>
      </c>
      <c r="L8" s="23" t="s">
        <v>49</v>
      </c>
      <c r="M8" s="23" t="s">
        <v>50</v>
      </c>
      <c r="N8" s="21" t="str">
        <f ca="1" t="shared" si="0"/>
        <v>94.0</v>
      </c>
      <c r="O8" s="25" t="s">
        <v>51</v>
      </c>
      <c r="P8" s="25" t="s">
        <v>52</v>
      </c>
      <c r="Q8" s="25">
        <v>0</v>
      </c>
      <c r="R8" s="27">
        <f t="shared" si="1"/>
        <v>25</v>
      </c>
      <c r="S8" s="27">
        <f t="shared" si="2"/>
        <v>17.47</v>
      </c>
      <c r="T8" s="28">
        <f t="shared" si="3"/>
        <v>5.90992459751376</v>
      </c>
      <c r="U8" s="28">
        <f t="shared" si="4"/>
        <v>290</v>
      </c>
      <c r="V8" s="28">
        <f t="shared" si="5"/>
        <v>1.50603448275862</v>
      </c>
      <c r="W8" s="30">
        <v>15</v>
      </c>
      <c r="X8" s="31" t="s">
        <v>53</v>
      </c>
      <c r="Y8" s="31" t="s">
        <v>53</v>
      </c>
    </row>
    <row r="9" spans="1:25">
      <c r="A9" s="13">
        <v>46162</v>
      </c>
      <c r="B9" s="14" t="s">
        <v>56</v>
      </c>
      <c r="C9" s="15">
        <v>41.96</v>
      </c>
      <c r="D9" s="16">
        <v>14413</v>
      </c>
      <c r="E9" s="16">
        <v>424</v>
      </c>
      <c r="F9" s="15">
        <v>25</v>
      </c>
      <c r="G9" s="15">
        <v>2</v>
      </c>
      <c r="H9" s="15">
        <v>1.68</v>
      </c>
      <c r="I9" s="15">
        <v>20.98</v>
      </c>
      <c r="J9" s="22">
        <v>2.94</v>
      </c>
      <c r="K9" s="20">
        <v>200</v>
      </c>
      <c r="L9" s="23" t="s">
        <v>49</v>
      </c>
      <c r="M9" s="23" t="s">
        <v>55</v>
      </c>
      <c r="N9" s="21" t="str">
        <f ca="1" t="shared" si="0"/>
        <v>93.1</v>
      </c>
      <c r="O9" s="25" t="s">
        <v>51</v>
      </c>
      <c r="P9" s="25" t="s">
        <v>52</v>
      </c>
      <c r="Q9" s="25">
        <v>0</v>
      </c>
      <c r="R9" s="27">
        <f t="shared" si="1"/>
        <v>2</v>
      </c>
      <c r="S9" s="27">
        <f t="shared" si="2"/>
        <v>20.98</v>
      </c>
      <c r="T9" s="28">
        <f t="shared" si="3"/>
        <v>6.36792452830189</v>
      </c>
      <c r="U9" s="28">
        <f t="shared" si="4"/>
        <v>27</v>
      </c>
      <c r="V9" s="28">
        <f t="shared" si="5"/>
        <v>1.55407407407407</v>
      </c>
      <c r="W9" s="30">
        <v>15</v>
      </c>
      <c r="X9" s="31" t="s">
        <v>53</v>
      </c>
      <c r="Y9" s="31" t="s">
        <v>53</v>
      </c>
    </row>
    <row r="10" spans="1:25">
      <c r="A10" s="13">
        <v>46162</v>
      </c>
      <c r="B10" s="14" t="s">
        <v>54</v>
      </c>
      <c r="C10" s="15">
        <v>439.25</v>
      </c>
      <c r="D10" s="16">
        <v>128017</v>
      </c>
      <c r="E10" s="16">
        <v>2151</v>
      </c>
      <c r="F10" s="15">
        <v>157</v>
      </c>
      <c r="G10" s="15">
        <v>25</v>
      </c>
      <c r="H10" s="15">
        <v>2.8</v>
      </c>
      <c r="I10" s="15">
        <v>17.57</v>
      </c>
      <c r="J10" s="22">
        <v>1.68</v>
      </c>
      <c r="K10" s="20">
        <v>200</v>
      </c>
      <c r="L10" s="23" t="s">
        <v>49</v>
      </c>
      <c r="M10" s="23" t="s">
        <v>50</v>
      </c>
      <c r="N10" s="21" t="str">
        <f ca="1" t="shared" si="0"/>
        <v>97.4</v>
      </c>
      <c r="O10" s="25" t="s">
        <v>51</v>
      </c>
      <c r="P10" s="25" t="s">
        <v>52</v>
      </c>
      <c r="Q10" s="25">
        <v>0</v>
      </c>
      <c r="R10" s="27">
        <f t="shared" si="1"/>
        <v>25</v>
      </c>
      <c r="S10" s="27">
        <f t="shared" si="2"/>
        <v>17.57</v>
      </c>
      <c r="T10" s="28">
        <f t="shared" si="3"/>
        <v>8.46118084611808</v>
      </c>
      <c r="U10" s="28">
        <f t="shared" si="4"/>
        <v>182</v>
      </c>
      <c r="V10" s="28">
        <f t="shared" si="5"/>
        <v>2.41346153846154</v>
      </c>
      <c r="W10" s="30">
        <v>15</v>
      </c>
      <c r="X10" s="31" t="s">
        <v>53</v>
      </c>
      <c r="Y10" s="31" t="s">
        <v>53</v>
      </c>
    </row>
    <row r="11" spans="1:25">
      <c r="A11" s="13">
        <v>46163</v>
      </c>
      <c r="B11" s="14" t="s">
        <v>56</v>
      </c>
      <c r="C11" s="15">
        <v>22.74</v>
      </c>
      <c r="D11" s="16">
        <v>17864</v>
      </c>
      <c r="E11" s="16">
        <v>556</v>
      </c>
      <c r="F11" s="15">
        <v>25</v>
      </c>
      <c r="G11" s="15">
        <v>1</v>
      </c>
      <c r="H11" s="15">
        <v>0.91</v>
      </c>
      <c r="I11" s="15">
        <v>22.74</v>
      </c>
      <c r="J11" s="22">
        <v>3.11</v>
      </c>
      <c r="K11" s="20">
        <v>200</v>
      </c>
      <c r="L11" s="23" t="s">
        <v>49</v>
      </c>
      <c r="M11" s="23" t="s">
        <v>55</v>
      </c>
      <c r="N11" s="21" t="str">
        <f ca="1" t="shared" si="0"/>
        <v>92.0</v>
      </c>
      <c r="O11" s="25" t="s">
        <v>51</v>
      </c>
      <c r="P11" s="25" t="s">
        <v>52</v>
      </c>
      <c r="Q11" s="25">
        <v>0</v>
      </c>
      <c r="R11" s="27">
        <f t="shared" si="1"/>
        <v>1</v>
      </c>
      <c r="S11" s="27">
        <f t="shared" si="2"/>
        <v>22.74</v>
      </c>
      <c r="T11" s="28">
        <f t="shared" si="3"/>
        <v>4.67625899280576</v>
      </c>
      <c r="U11" s="28">
        <f t="shared" si="4"/>
        <v>26</v>
      </c>
      <c r="V11" s="28">
        <f t="shared" si="5"/>
        <v>0.874615384615385</v>
      </c>
      <c r="W11" s="30">
        <v>15</v>
      </c>
      <c r="X11" s="31" t="s">
        <v>53</v>
      </c>
      <c r="Y11" s="31" t="s">
        <v>53</v>
      </c>
    </row>
    <row r="12" spans="1:25">
      <c r="A12" s="13">
        <v>46163</v>
      </c>
      <c r="B12" s="14" t="s">
        <v>57</v>
      </c>
      <c r="C12" s="15">
        <v>49.14</v>
      </c>
      <c r="D12" s="16">
        <v>7862</v>
      </c>
      <c r="E12" s="16">
        <v>264</v>
      </c>
      <c r="F12" s="15">
        <v>14</v>
      </c>
      <c r="G12" s="15">
        <v>3</v>
      </c>
      <c r="H12" s="15">
        <v>3.51</v>
      </c>
      <c r="I12" s="15">
        <v>16.38</v>
      </c>
      <c r="J12" s="22">
        <v>3.36</v>
      </c>
      <c r="K12" s="20">
        <v>200</v>
      </c>
      <c r="L12" s="23" t="s">
        <v>49</v>
      </c>
      <c r="M12" s="23" t="s">
        <v>50</v>
      </c>
      <c r="N12" s="21" t="str">
        <f ca="1" t="shared" si="0"/>
        <v>93.5</v>
      </c>
      <c r="O12" s="25" t="s">
        <v>51</v>
      </c>
      <c r="P12" s="25" t="s">
        <v>52</v>
      </c>
      <c r="Q12" s="25">
        <v>0</v>
      </c>
      <c r="R12" s="27">
        <f t="shared" si="1"/>
        <v>3</v>
      </c>
      <c r="S12" s="27">
        <f t="shared" si="2"/>
        <v>16.38</v>
      </c>
      <c r="T12" s="28">
        <f t="shared" si="3"/>
        <v>6.43939393939394</v>
      </c>
      <c r="U12" s="28">
        <f t="shared" si="4"/>
        <v>17</v>
      </c>
      <c r="V12" s="28">
        <f t="shared" si="5"/>
        <v>2.89058823529412</v>
      </c>
      <c r="W12" s="30">
        <v>15</v>
      </c>
      <c r="X12" s="31" t="s">
        <v>53</v>
      </c>
      <c r="Y12" s="31" t="s">
        <v>53</v>
      </c>
    </row>
    <row r="13" spans="1:25">
      <c r="A13" s="13">
        <v>46163</v>
      </c>
      <c r="B13" s="14" t="s">
        <v>54</v>
      </c>
      <c r="C13" s="15">
        <v>695.78</v>
      </c>
      <c r="D13" s="16">
        <v>333775</v>
      </c>
      <c r="E13" s="16">
        <v>5207</v>
      </c>
      <c r="F13" s="15">
        <v>302</v>
      </c>
      <c r="G13" s="15">
        <v>38</v>
      </c>
      <c r="H13" s="15">
        <v>2.3</v>
      </c>
      <c r="I13" s="15">
        <v>18.31</v>
      </c>
      <c r="J13" s="22">
        <v>1.56</v>
      </c>
      <c r="K13" s="20">
        <v>200</v>
      </c>
      <c r="L13" s="23" t="s">
        <v>49</v>
      </c>
      <c r="M13" s="23" t="s">
        <v>55</v>
      </c>
      <c r="N13" s="21" t="str">
        <f ca="1" t="shared" si="0"/>
        <v>94.8</v>
      </c>
      <c r="O13" s="25" t="s">
        <v>51</v>
      </c>
      <c r="P13" s="25" t="s">
        <v>52</v>
      </c>
      <c r="Q13" s="25">
        <v>0</v>
      </c>
      <c r="R13" s="27">
        <f t="shared" si="1"/>
        <v>38</v>
      </c>
      <c r="S13" s="27">
        <f t="shared" si="2"/>
        <v>18.31</v>
      </c>
      <c r="T13" s="28">
        <f t="shared" si="3"/>
        <v>6.52967159592856</v>
      </c>
      <c r="U13" s="28">
        <f t="shared" si="4"/>
        <v>340</v>
      </c>
      <c r="V13" s="28">
        <f t="shared" si="5"/>
        <v>2.04641176470588</v>
      </c>
      <c r="W13" s="30">
        <v>15</v>
      </c>
      <c r="X13" s="31" t="s">
        <v>53</v>
      </c>
      <c r="Y13" s="31" t="s">
        <v>53</v>
      </c>
    </row>
    <row r="14" spans="1:25">
      <c r="A14" s="13">
        <v>46164</v>
      </c>
      <c r="B14" s="14" t="s">
        <v>57</v>
      </c>
      <c r="C14" s="15">
        <v>18.43</v>
      </c>
      <c r="D14" s="16">
        <v>14493</v>
      </c>
      <c r="E14" s="16">
        <v>326</v>
      </c>
      <c r="F14" s="15">
        <v>15</v>
      </c>
      <c r="G14" s="15">
        <v>1</v>
      </c>
      <c r="H14" s="15">
        <v>1.23</v>
      </c>
      <c r="I14" s="15">
        <v>18.43</v>
      </c>
      <c r="J14" s="22">
        <v>2.25</v>
      </c>
      <c r="K14" s="20">
        <v>200</v>
      </c>
      <c r="L14" s="23" t="s">
        <v>49</v>
      </c>
      <c r="M14" s="23" t="s">
        <v>50</v>
      </c>
      <c r="N14" s="21" t="str">
        <f ca="1" t="shared" si="0"/>
        <v>96.8</v>
      </c>
      <c r="O14" s="25" t="s">
        <v>51</v>
      </c>
      <c r="P14" s="25" t="s">
        <v>52</v>
      </c>
      <c r="Q14" s="25">
        <v>0</v>
      </c>
      <c r="R14" s="27">
        <f t="shared" si="1"/>
        <v>1</v>
      </c>
      <c r="S14" s="27">
        <f t="shared" si="2"/>
        <v>18.43</v>
      </c>
      <c r="T14" s="28">
        <f t="shared" si="3"/>
        <v>4.9079754601227</v>
      </c>
      <c r="U14" s="28">
        <f t="shared" si="4"/>
        <v>16</v>
      </c>
      <c r="V14" s="28">
        <f t="shared" si="5"/>
        <v>1.151875</v>
      </c>
      <c r="W14" s="30">
        <v>15</v>
      </c>
      <c r="X14" s="31" t="s">
        <v>53</v>
      </c>
      <c r="Y14" s="31" t="s">
        <v>53</v>
      </c>
    </row>
    <row r="15" spans="1:25">
      <c r="A15" s="13">
        <v>46164</v>
      </c>
      <c r="B15" s="14" t="s">
        <v>54</v>
      </c>
      <c r="C15" s="15">
        <v>758.16</v>
      </c>
      <c r="D15" s="16">
        <v>306147</v>
      </c>
      <c r="E15" s="16">
        <v>7194</v>
      </c>
      <c r="F15" s="15">
        <v>518</v>
      </c>
      <c r="G15" s="15">
        <v>39</v>
      </c>
      <c r="H15" s="15">
        <v>1.46</v>
      </c>
      <c r="I15" s="15">
        <v>19.44</v>
      </c>
      <c r="J15" s="22">
        <v>2.35</v>
      </c>
      <c r="K15" s="20">
        <v>200</v>
      </c>
      <c r="L15" s="23" t="s">
        <v>49</v>
      </c>
      <c r="M15" s="23" t="s">
        <v>55</v>
      </c>
      <c r="N15" s="21" t="str">
        <f ca="1" t="shared" si="0"/>
        <v>96.3</v>
      </c>
      <c r="O15" s="25" t="s">
        <v>51</v>
      </c>
      <c r="P15" s="25" t="s">
        <v>52</v>
      </c>
      <c r="Q15" s="25">
        <v>0</v>
      </c>
      <c r="R15" s="27">
        <f t="shared" si="1"/>
        <v>39</v>
      </c>
      <c r="S15" s="27">
        <f t="shared" si="2"/>
        <v>19.44</v>
      </c>
      <c r="T15" s="28">
        <f t="shared" si="3"/>
        <v>7.7425632471504</v>
      </c>
      <c r="U15" s="28">
        <f t="shared" si="4"/>
        <v>557</v>
      </c>
      <c r="V15" s="28">
        <f t="shared" si="5"/>
        <v>1.36114901256732</v>
      </c>
      <c r="W15" s="30">
        <v>15</v>
      </c>
      <c r="X15" s="31" t="s">
        <v>53</v>
      </c>
      <c r="Y15" s="31" t="s">
        <v>53</v>
      </c>
    </row>
    <row r="16" spans="1:25">
      <c r="A16" s="13">
        <v>46165</v>
      </c>
      <c r="B16" s="14" t="s">
        <v>57</v>
      </c>
      <c r="C16" s="15">
        <v>19.86</v>
      </c>
      <c r="D16" s="16">
        <v>9416</v>
      </c>
      <c r="E16" s="16">
        <v>167</v>
      </c>
      <c r="F16" s="15">
        <v>8</v>
      </c>
      <c r="G16" s="15">
        <v>1</v>
      </c>
      <c r="H16" s="15">
        <v>2.48</v>
      </c>
      <c r="I16" s="15">
        <v>19.86</v>
      </c>
      <c r="J16" s="22">
        <v>1.77</v>
      </c>
      <c r="K16" s="20">
        <v>200</v>
      </c>
      <c r="L16" s="23" t="s">
        <v>49</v>
      </c>
      <c r="M16" s="23" t="s">
        <v>50</v>
      </c>
      <c r="N16" s="21" t="str">
        <f ca="1" t="shared" si="0"/>
        <v>96.5</v>
      </c>
      <c r="O16" s="25" t="s">
        <v>51</v>
      </c>
      <c r="P16" s="25" t="s">
        <v>52</v>
      </c>
      <c r="Q16" s="25">
        <v>0</v>
      </c>
      <c r="R16" s="27">
        <f t="shared" si="1"/>
        <v>1</v>
      </c>
      <c r="S16" s="27">
        <f t="shared" si="2"/>
        <v>19.86</v>
      </c>
      <c r="T16" s="28">
        <f t="shared" si="3"/>
        <v>5.38922155688623</v>
      </c>
      <c r="U16" s="28">
        <f t="shared" si="4"/>
        <v>9</v>
      </c>
      <c r="V16" s="28">
        <f t="shared" si="5"/>
        <v>2.20666666666667</v>
      </c>
      <c r="W16" s="30">
        <v>15</v>
      </c>
      <c r="X16" s="31" t="s">
        <v>53</v>
      </c>
      <c r="Y16" s="31" t="s">
        <v>53</v>
      </c>
    </row>
    <row r="17" spans="1:25">
      <c r="A17" s="13">
        <v>46165</v>
      </c>
      <c r="B17" s="14" t="s">
        <v>54</v>
      </c>
      <c r="C17" s="15">
        <v>1127.28</v>
      </c>
      <c r="D17" s="16">
        <v>347107</v>
      </c>
      <c r="E17" s="16">
        <v>9164</v>
      </c>
      <c r="F17" s="15">
        <v>504</v>
      </c>
      <c r="G17" s="15">
        <v>56</v>
      </c>
      <c r="H17" s="15">
        <v>2.24</v>
      </c>
      <c r="I17" s="15">
        <v>20.13</v>
      </c>
      <c r="J17" s="22">
        <v>2.64</v>
      </c>
      <c r="K17" s="20">
        <v>200</v>
      </c>
      <c r="L17" s="23" t="s">
        <v>49</v>
      </c>
      <c r="M17" s="23" t="s">
        <v>55</v>
      </c>
      <c r="N17" s="21" t="str">
        <f ca="1" t="shared" si="0"/>
        <v>96.2</v>
      </c>
      <c r="O17" s="25" t="s">
        <v>51</v>
      </c>
      <c r="P17" s="25" t="s">
        <v>52</v>
      </c>
      <c r="Q17" s="25">
        <v>0</v>
      </c>
      <c r="R17" s="27">
        <f t="shared" si="1"/>
        <v>56</v>
      </c>
      <c r="S17" s="27">
        <f t="shared" si="2"/>
        <v>20.13</v>
      </c>
      <c r="T17" s="28">
        <f t="shared" si="3"/>
        <v>6.11086861632475</v>
      </c>
      <c r="U17" s="28">
        <f t="shared" si="4"/>
        <v>560</v>
      </c>
      <c r="V17" s="28">
        <f t="shared" si="5"/>
        <v>2.013</v>
      </c>
      <c r="W17" s="30">
        <v>15</v>
      </c>
      <c r="X17" s="31" t="s">
        <v>53</v>
      </c>
      <c r="Y17" s="31" t="s">
        <v>53</v>
      </c>
    </row>
    <row r="18" spans="1:25">
      <c r="A18" s="13"/>
      <c r="B18" s="14"/>
      <c r="C18" s="15"/>
      <c r="D18" s="16"/>
      <c r="E18" s="16"/>
      <c r="F18" s="15"/>
      <c r="G18" s="15"/>
      <c r="H18" s="15"/>
      <c r="I18" s="15"/>
      <c r="J18" s="22"/>
      <c r="K18" s="20"/>
      <c r="L18" s="23"/>
      <c r="M18" s="23"/>
      <c r="N18" s="21"/>
      <c r="O18" s="25"/>
      <c r="P18" s="25"/>
      <c r="Q18" s="25"/>
      <c r="R18" s="27"/>
      <c r="S18" s="27"/>
      <c r="T18" s="28"/>
      <c r="U18" s="28"/>
      <c r="V18" s="28"/>
      <c r="W18" s="30"/>
      <c r="X18" s="31"/>
      <c r="Y18" s="31"/>
    </row>
    <row r="19" spans="1:25">
      <c r="A19" s="13"/>
      <c r="B19" s="14"/>
      <c r="C19" s="15"/>
      <c r="D19" s="16"/>
      <c r="E19" s="16"/>
      <c r="F19" s="15"/>
      <c r="G19" s="15"/>
      <c r="H19" s="15"/>
      <c r="I19" s="15"/>
      <c r="J19" s="22"/>
      <c r="K19" s="20"/>
      <c r="L19" s="23"/>
      <c r="M19" s="23"/>
      <c r="N19" s="21"/>
      <c r="O19" s="25"/>
      <c r="P19" s="25"/>
      <c r="Q19" s="25"/>
      <c r="R19" s="27"/>
      <c r="S19" s="27"/>
      <c r="T19" s="28"/>
      <c r="U19" s="28"/>
      <c r="V19" s="28"/>
      <c r="W19" s="30"/>
      <c r="X19" s="31"/>
      <c r="Y19" s="31"/>
    </row>
    <row r="20" spans="1:25">
      <c r="A20" s="13"/>
      <c r="B20" s="14"/>
      <c r="C20" s="15"/>
      <c r="D20" s="16"/>
      <c r="E20" s="16"/>
      <c r="F20" s="15"/>
      <c r="G20" s="15"/>
      <c r="H20" s="15"/>
      <c r="I20" s="15"/>
      <c r="J20" s="22"/>
      <c r="K20" s="20"/>
      <c r="L20" s="23"/>
      <c r="M20" s="23"/>
      <c r="N20" s="21"/>
      <c r="O20" s="25"/>
      <c r="P20" s="25"/>
      <c r="Q20" s="25"/>
      <c r="R20" s="27"/>
      <c r="S20" s="27"/>
      <c r="T20" s="28"/>
      <c r="U20" s="28"/>
      <c r="V20" s="28"/>
      <c r="W20" s="30"/>
      <c r="X20" s="31"/>
      <c r="Y20" s="31"/>
    </row>
    <row r="21" spans="1:25">
      <c r="A21" s="13"/>
      <c r="B21" s="14"/>
      <c r="C21" s="15"/>
      <c r="D21" s="16"/>
      <c r="E21" s="16"/>
      <c r="F21" s="15"/>
      <c r="G21" s="15"/>
      <c r="H21" s="15"/>
      <c r="I21" s="15"/>
      <c r="J21" s="22"/>
      <c r="K21" s="20"/>
      <c r="L21" s="23"/>
      <c r="M21" s="23"/>
      <c r="N21" s="21"/>
      <c r="O21" s="25"/>
      <c r="P21" s="25"/>
      <c r="Q21" s="25"/>
      <c r="R21" s="27"/>
      <c r="S21" s="27"/>
      <c r="T21" s="28"/>
      <c r="U21" s="28"/>
      <c r="V21" s="28"/>
      <c r="W21" s="30"/>
      <c r="X21" s="31"/>
      <c r="Y21" s="31"/>
    </row>
    <row r="22" spans="1:25">
      <c r="A22" s="13"/>
      <c r="B22" s="14"/>
      <c r="C22" s="15"/>
      <c r="D22" s="16"/>
      <c r="E22" s="16"/>
      <c r="F22" s="15"/>
      <c r="G22" s="15"/>
      <c r="H22" s="15"/>
      <c r="I22" s="15"/>
      <c r="J22" s="22"/>
      <c r="K22" s="20"/>
      <c r="L22" s="23"/>
      <c r="M22" s="23"/>
      <c r="N22" s="21"/>
      <c r="O22" s="25"/>
      <c r="P22" s="25"/>
      <c r="Q22" s="25"/>
      <c r="R22" s="27"/>
      <c r="S22" s="27"/>
      <c r="T22" s="28"/>
      <c r="U22" s="28"/>
      <c r="V22" s="28"/>
      <c r="W22" s="30"/>
      <c r="X22" s="31"/>
      <c r="Y22" s="31"/>
    </row>
    <row r="23" spans="1:25">
      <c r="A23" s="13"/>
      <c r="B23" s="14"/>
      <c r="C23" s="15"/>
      <c r="D23" s="16"/>
      <c r="E23" s="16"/>
      <c r="F23" s="15"/>
      <c r="G23" s="15"/>
      <c r="H23" s="15"/>
      <c r="I23" s="15"/>
      <c r="J23" s="22"/>
      <c r="K23" s="20"/>
      <c r="L23" s="23"/>
      <c r="M23" s="23"/>
      <c r="N23" s="21"/>
      <c r="O23" s="25"/>
      <c r="P23" s="25"/>
      <c r="Q23" s="25"/>
      <c r="R23" s="27"/>
      <c r="S23" s="27"/>
      <c r="T23" s="28"/>
      <c r="U23" s="28"/>
      <c r="V23" s="28"/>
      <c r="W23" s="30"/>
      <c r="X23" s="31"/>
      <c r="Y23" s="31"/>
    </row>
    <row r="24" spans="1:25">
      <c r="A24" s="13"/>
      <c r="B24" s="14"/>
      <c r="C24" s="15"/>
      <c r="D24" s="16"/>
      <c r="E24" s="16"/>
      <c r="F24" s="15"/>
      <c r="G24" s="15"/>
      <c r="H24" s="15"/>
      <c r="I24" s="15"/>
      <c r="J24" s="22"/>
      <c r="K24" s="20"/>
      <c r="L24" s="23"/>
      <c r="M24" s="23"/>
      <c r="N24" s="21"/>
      <c r="O24" s="25"/>
      <c r="P24" s="25"/>
      <c r="Q24" s="25"/>
      <c r="R24" s="27"/>
      <c r="S24" s="27"/>
      <c r="T24" s="28"/>
      <c r="U24" s="28"/>
      <c r="V24" s="28"/>
      <c r="W24" s="30"/>
      <c r="X24" s="31"/>
      <c r="Y24" s="31"/>
    </row>
    <row r="25" spans="1:25">
      <c r="A25" s="13"/>
      <c r="B25" s="14"/>
      <c r="C25" s="15"/>
      <c r="D25" s="16"/>
      <c r="E25" s="16"/>
      <c r="F25" s="15"/>
      <c r="G25" s="15"/>
      <c r="H25" s="15"/>
      <c r="I25" s="15"/>
      <c r="J25" s="22"/>
      <c r="K25" s="20"/>
      <c r="L25" s="23"/>
      <c r="M25" s="23"/>
      <c r="N25" s="21"/>
      <c r="O25" s="25"/>
      <c r="P25" s="25"/>
      <c r="Q25" s="25"/>
      <c r="R25" s="27"/>
      <c r="S25" s="27"/>
      <c r="T25" s="28"/>
      <c r="U25" s="28"/>
      <c r="V25" s="28"/>
      <c r="W25" s="30"/>
      <c r="X25" s="31"/>
      <c r="Y25" s="31"/>
    </row>
    <row r="26" spans="1:25">
      <c r="A26" s="13"/>
      <c r="B26" s="14"/>
      <c r="C26" s="15"/>
      <c r="D26" s="16"/>
      <c r="E26" s="16"/>
      <c r="F26" s="15"/>
      <c r="G26" s="15"/>
      <c r="H26" s="15"/>
      <c r="I26" s="15"/>
      <c r="J26" s="22"/>
      <c r="K26" s="20"/>
      <c r="L26" s="23"/>
      <c r="M26" s="23"/>
      <c r="N26" s="21"/>
      <c r="O26" s="25"/>
      <c r="P26" s="25"/>
      <c r="Q26" s="25"/>
      <c r="R26" s="27"/>
      <c r="S26" s="27"/>
      <c r="T26" s="28"/>
      <c r="U26" s="28"/>
      <c r="V26" s="28"/>
      <c r="W26" s="30"/>
      <c r="X26" s="31"/>
      <c r="Y26" s="31"/>
    </row>
    <row r="27" spans="1:25">
      <c r="A27" s="13"/>
      <c r="B27" s="14"/>
      <c r="C27" s="15"/>
      <c r="D27" s="16"/>
      <c r="E27" s="16"/>
      <c r="F27" s="15"/>
      <c r="G27" s="15"/>
      <c r="H27" s="15"/>
      <c r="I27" s="15"/>
      <c r="J27" s="22"/>
      <c r="K27" s="20"/>
      <c r="L27" s="23"/>
      <c r="M27" s="23"/>
      <c r="N27" s="21"/>
      <c r="O27" s="25"/>
      <c r="P27" s="25"/>
      <c r="Q27" s="25"/>
      <c r="R27" s="27"/>
      <c r="S27" s="27"/>
      <c r="T27" s="28"/>
      <c r="U27" s="28"/>
      <c r="V27" s="28"/>
      <c r="W27" s="30"/>
      <c r="X27" s="31"/>
      <c r="Y27" s="31"/>
    </row>
    <row r="28" spans="1:25">
      <c r="A28" s="13"/>
      <c r="B28" s="14"/>
      <c r="C28" s="15"/>
      <c r="D28" s="16"/>
      <c r="E28" s="16"/>
      <c r="F28" s="15"/>
      <c r="G28" s="15"/>
      <c r="H28" s="15"/>
      <c r="I28" s="15"/>
      <c r="J28" s="22"/>
      <c r="K28" s="20"/>
      <c r="L28" s="23"/>
      <c r="M28" s="23"/>
      <c r="N28" s="21"/>
      <c r="O28" s="25"/>
      <c r="P28" s="25"/>
      <c r="Q28" s="25"/>
      <c r="R28" s="27"/>
      <c r="S28" s="27"/>
      <c r="T28" s="28"/>
      <c r="U28" s="28"/>
      <c r="V28" s="28"/>
      <c r="W28" s="30"/>
      <c r="X28" s="31"/>
      <c r="Y28" s="31"/>
    </row>
    <row r="29" spans="1:25">
      <c r="A29" s="13"/>
      <c r="B29" s="14"/>
      <c r="C29" s="15"/>
      <c r="D29" s="16"/>
      <c r="E29" s="16"/>
      <c r="F29" s="15"/>
      <c r="G29" s="15"/>
      <c r="H29" s="15"/>
      <c r="I29" s="15"/>
      <c r="J29" s="22"/>
      <c r="K29" s="20"/>
      <c r="L29" s="23"/>
      <c r="M29" s="23"/>
      <c r="N29" s="21"/>
      <c r="O29" s="25"/>
      <c r="P29" s="25"/>
      <c r="Q29" s="25"/>
      <c r="R29" s="27"/>
      <c r="S29" s="27"/>
      <c r="T29" s="28"/>
      <c r="U29" s="28"/>
      <c r="V29" s="28"/>
      <c r="W29" s="30"/>
      <c r="X29" s="31"/>
      <c r="Y29" s="31"/>
    </row>
    <row r="30" spans="1:25">
      <c r="A30" s="13"/>
      <c r="B30" s="14"/>
      <c r="C30" s="15"/>
      <c r="D30" s="16"/>
      <c r="E30" s="16"/>
      <c r="F30" s="15"/>
      <c r="G30" s="15"/>
      <c r="H30" s="15"/>
      <c r="I30" s="15"/>
      <c r="J30" s="22"/>
      <c r="K30" s="20"/>
      <c r="L30" s="23"/>
      <c r="M30" s="23"/>
      <c r="N30" s="21"/>
      <c r="O30" s="25"/>
      <c r="P30" s="25"/>
      <c r="Q30" s="25"/>
      <c r="R30" s="27"/>
      <c r="S30" s="27"/>
      <c r="T30" s="28"/>
      <c r="U30" s="28"/>
      <c r="V30" s="28"/>
      <c r="W30" s="30"/>
      <c r="X30" s="31"/>
      <c r="Y30" s="31"/>
    </row>
    <row r="31" spans="1:25">
      <c r="A31" s="13"/>
      <c r="B31" s="14"/>
      <c r="C31" s="15"/>
      <c r="D31" s="16"/>
      <c r="E31" s="16"/>
      <c r="F31" s="15"/>
      <c r="G31" s="15"/>
      <c r="H31" s="15"/>
      <c r="I31" s="15"/>
      <c r="J31" s="22"/>
      <c r="K31" s="20"/>
      <c r="L31" s="23"/>
      <c r="M31" s="23"/>
      <c r="N31" s="21"/>
      <c r="O31" s="25"/>
      <c r="P31" s="25"/>
      <c r="Q31" s="25"/>
      <c r="R31" s="27"/>
      <c r="S31" s="27"/>
      <c r="T31" s="28"/>
      <c r="U31" s="28"/>
      <c r="V31" s="28"/>
      <c r="W31" s="30"/>
      <c r="X31" s="31"/>
      <c r="Y31" s="31"/>
    </row>
    <row r="32" spans="1:25">
      <c r="A32" s="13"/>
      <c r="B32" s="14"/>
      <c r="C32" s="15"/>
      <c r="D32" s="16"/>
      <c r="E32" s="16"/>
      <c r="F32" s="15"/>
      <c r="G32" s="15"/>
      <c r="H32" s="15"/>
      <c r="I32" s="15"/>
      <c r="J32" s="22"/>
      <c r="K32" s="20"/>
      <c r="L32" s="23"/>
      <c r="M32" s="23"/>
      <c r="N32" s="21"/>
      <c r="O32" s="25"/>
      <c r="P32" s="25"/>
      <c r="Q32" s="25"/>
      <c r="R32" s="27"/>
      <c r="S32" s="27"/>
      <c r="T32" s="28"/>
      <c r="U32" s="28"/>
      <c r="V32" s="28"/>
      <c r="W32" s="30"/>
      <c r="X32" s="31"/>
      <c r="Y32" s="31"/>
    </row>
    <row r="33" spans="1:25">
      <c r="A33" s="13"/>
      <c r="B33" s="14"/>
      <c r="C33" s="15"/>
      <c r="D33" s="16"/>
      <c r="E33" s="16"/>
      <c r="F33" s="15"/>
      <c r="G33" s="15"/>
      <c r="H33" s="15"/>
      <c r="I33" s="15"/>
      <c r="J33" s="22"/>
      <c r="K33" s="20"/>
      <c r="L33" s="23"/>
      <c r="M33" s="23"/>
      <c r="N33" s="21"/>
      <c r="O33" s="25"/>
      <c r="P33" s="25"/>
      <c r="Q33" s="25"/>
      <c r="R33" s="27"/>
      <c r="S33" s="27"/>
      <c r="T33" s="28"/>
      <c r="U33" s="28"/>
      <c r="V33" s="28"/>
      <c r="W33" s="30"/>
      <c r="X33" s="31"/>
      <c r="Y33" s="31"/>
    </row>
    <row r="34" spans="1:25">
      <c r="A34" s="13"/>
      <c r="B34" s="14"/>
      <c r="C34" s="15"/>
      <c r="D34" s="16"/>
      <c r="E34" s="16"/>
      <c r="F34" s="15"/>
      <c r="G34" s="15"/>
      <c r="H34" s="15"/>
      <c r="I34" s="15"/>
      <c r="J34" s="22"/>
      <c r="K34" s="20"/>
      <c r="L34" s="23"/>
      <c r="M34" s="23"/>
      <c r="N34" s="21"/>
      <c r="O34" s="25"/>
      <c r="P34" s="25"/>
      <c r="Q34" s="25"/>
      <c r="R34" s="27"/>
      <c r="S34" s="27"/>
      <c r="T34" s="28"/>
      <c r="U34" s="28"/>
      <c r="V34" s="28"/>
      <c r="W34" s="30"/>
      <c r="X34" s="31"/>
      <c r="Y34" s="31"/>
    </row>
    <row r="35" spans="1:25">
      <c r="A35" s="13"/>
      <c r="B35" s="14"/>
      <c r="C35" s="15"/>
      <c r="D35" s="16"/>
      <c r="E35" s="16"/>
      <c r="F35" s="15"/>
      <c r="G35" s="15"/>
      <c r="H35" s="15"/>
      <c r="I35" s="15"/>
      <c r="J35" s="22"/>
      <c r="K35" s="20"/>
      <c r="L35" s="23"/>
      <c r="M35" s="23"/>
      <c r="N35" s="21"/>
      <c r="O35" s="25"/>
      <c r="P35" s="25"/>
      <c r="Q35" s="25"/>
      <c r="R35" s="27"/>
      <c r="S35" s="27"/>
      <c r="T35" s="28"/>
      <c r="U35" s="28"/>
      <c r="V35" s="28"/>
      <c r="W35" s="30"/>
      <c r="X35" s="31"/>
      <c r="Y35" s="31"/>
    </row>
    <row r="36" spans="1:25">
      <c r="A36" s="13"/>
      <c r="B36" s="14"/>
      <c r="C36" s="15"/>
      <c r="D36" s="16"/>
      <c r="E36" s="16"/>
      <c r="F36" s="15"/>
      <c r="G36" s="15"/>
      <c r="H36" s="15"/>
      <c r="I36" s="15"/>
      <c r="J36" s="24"/>
      <c r="K36" s="20"/>
      <c r="L36" s="23"/>
      <c r="M36" s="23"/>
      <c r="N36" s="21"/>
      <c r="O36" s="25"/>
      <c r="P36" s="25"/>
      <c r="Q36" s="25"/>
      <c r="R36" s="27"/>
      <c r="S36" s="27"/>
      <c r="T36" s="28"/>
      <c r="U36" s="28"/>
      <c r="V36" s="28"/>
      <c r="W36" s="30"/>
      <c r="X36" s="31"/>
      <c r="Y36" s="31"/>
    </row>
    <row r="37" spans="1:25">
      <c r="A37" s="13"/>
      <c r="B37" s="14"/>
      <c r="C37" s="15"/>
      <c r="D37" s="16"/>
      <c r="E37" s="16"/>
      <c r="F37" s="15"/>
      <c r="G37" s="15"/>
      <c r="H37" s="15"/>
      <c r="I37" s="15"/>
      <c r="J37" s="22"/>
      <c r="K37" s="20"/>
      <c r="L37" s="23"/>
      <c r="M37" s="23"/>
      <c r="N37" s="21"/>
      <c r="O37" s="25"/>
      <c r="P37" s="25"/>
      <c r="Q37" s="25"/>
      <c r="R37" s="27"/>
      <c r="S37" s="27"/>
      <c r="T37" s="28"/>
      <c r="U37" s="28"/>
      <c r="V37" s="28"/>
      <c r="W37" s="30"/>
      <c r="X37" s="31"/>
      <c r="Y37" s="31"/>
    </row>
  </sheetData>
  <hyperlinks>
    <hyperlink ref="O5" r:id="rId1" display="1124-4-mcc"/>
    <hyperlink ref="O7" r:id="rId1" display="1124-4-mcc"/>
    <hyperlink ref="O9" r:id="rId1" display="1124-4-mcc"/>
    <hyperlink ref="O11" r:id="rId1" display="1124-4-mcc"/>
    <hyperlink ref="O13" r:id="rId1" display="1124-4-mcc"/>
    <hyperlink ref="O15" r:id="rId1" display="1124-4-mcc"/>
    <hyperlink ref="O17" r:id="rId1" display="1124-4-mcc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mac0225</cp:lastModifiedBy>
  <dcterms:created xsi:type="dcterms:W3CDTF">2026-02-12T16:22:00Z</dcterms:created>
  <dcterms:modified xsi:type="dcterms:W3CDTF">2026-05-24T20:49:24Z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C1DB73B7BB524AB5B81B6511628E084C_13</vt:lpwstr>
  </property>
  <property fmtid="{D5CDD505-2E9C-101B-9397-08002B2CF9AE}" pid="3" name="KSOProductBuildVer">
    <vt:lpwstr>2052-12.1.23155.23155</vt:lpwstr>
  </property>
  <property fmtid="{D5CDD505-2E9C-101B-9397-08002B2CF9AE}" pid="4" name="CalculationRule">
    <vt:i4>0</vt:i4>
  </property>
</Properties>
</file>